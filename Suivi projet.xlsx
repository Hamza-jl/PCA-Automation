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Lenovo\Desktop\FY 2023\AMI\BIA\"/>
    </mc:Choice>
  </mc:AlternateContent>
  <xr:revisionPtr revIDLastSave="0" documentId="13_ncr:1_{86B466B7-1144-4ABB-B69F-7632D4E896D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ommaire" sheetId="2" r:id="rId1"/>
    <sheet name="Planning des réunions" sheetId="1" r:id="rId2"/>
    <sheet name="Chiffre" sheetId="3" r:id="rId3"/>
  </sheets>
  <definedNames>
    <definedName name="_xlnm._FilterDatabase" localSheetId="1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3" l="1"/>
  <c r="D5" i="3" s="1"/>
  <c r="C3" i="3"/>
  <c r="C5" i="3" s="1"/>
  <c r="B3" i="3"/>
  <c r="B5" i="3" s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</calcChain>
</file>

<file path=xl/sharedStrings.xml><?xml version="1.0" encoding="utf-8"?>
<sst xmlns="http://schemas.openxmlformats.org/spreadsheetml/2006/main" count="220" uniqueCount="78">
  <si>
    <t xml:space="preserve">Planning des ateliers BIA </t>
  </si>
  <si>
    <t xml:space="preserve">Date </t>
  </si>
  <si>
    <t xml:space="preserve">Heure </t>
  </si>
  <si>
    <t>9H - 10H30</t>
  </si>
  <si>
    <t xml:space="preserve">10H30 - 12H </t>
  </si>
  <si>
    <t>14H - 15H30</t>
  </si>
  <si>
    <t xml:space="preserve">à définir </t>
  </si>
  <si>
    <t xml:space="preserve">Pôle RH et Logistique
Mhadheb Mhadhebi
Chef de Pôle RH et Logistique
Direction Centrale des risques </t>
  </si>
  <si>
    <t>Département Veille Documentaire et Communication Interne</t>
  </si>
  <si>
    <t xml:space="preserve">Achat
</t>
  </si>
  <si>
    <t xml:space="preserve">Logistique
</t>
  </si>
  <si>
    <t xml:space="preserve">Sécurité et moyens généraux
</t>
  </si>
  <si>
    <r>
      <rPr>
        <sz val="24"/>
        <rFont val="Calibri"/>
        <family val="2"/>
        <scheme val="minor"/>
      </rPr>
      <t>Houssem Souissi</t>
    </r>
    <r>
      <rPr>
        <sz val="24"/>
        <color rgb="FFFF0000"/>
        <rFont val="Calibri"/>
        <family val="2"/>
        <scheme val="minor"/>
      </rPr>
      <t xml:space="preserve"> </t>
    </r>
  </si>
  <si>
    <r>
      <t xml:space="preserve">Département Achat et services Communs
</t>
    </r>
    <r>
      <rPr>
        <b/>
        <sz val="24"/>
        <color theme="1"/>
        <rFont val="Calibri"/>
        <family val="2"/>
        <scheme val="minor"/>
      </rPr>
      <t xml:space="preserve">Mohamed Medhioub
Responsable du Département Achat et services Communs
</t>
    </r>
    <r>
      <rPr>
        <sz val="24"/>
        <color theme="1"/>
        <rFont val="Calibri"/>
        <family val="2"/>
        <scheme val="minor"/>
      </rPr>
      <t xml:space="preserve">
</t>
    </r>
  </si>
  <si>
    <t>Département Gestion du patrimoine</t>
  </si>
  <si>
    <r>
      <t>Département Administration RH</t>
    </r>
    <r>
      <rPr>
        <sz val="24"/>
        <color theme="1"/>
        <rFont val="Calibri"/>
        <family val="2"/>
        <scheme val="minor"/>
      </rPr>
      <t xml:space="preserve">
</t>
    </r>
  </si>
  <si>
    <r>
      <t xml:space="preserve">Département Développement RH </t>
    </r>
    <r>
      <rPr>
        <b/>
        <sz val="24"/>
        <color theme="1"/>
        <rFont val="Calibri"/>
        <family val="2"/>
        <scheme val="minor"/>
      </rPr>
      <t xml:space="preserve">
</t>
    </r>
  </si>
  <si>
    <t xml:space="preserve">DOSI
</t>
  </si>
  <si>
    <t>Département Développement</t>
  </si>
  <si>
    <t>Département Exploitation</t>
  </si>
  <si>
    <t xml:space="preserve">Sécurité
</t>
  </si>
  <si>
    <t xml:space="preserve">Délégués réginaux
</t>
  </si>
  <si>
    <t xml:space="preserve">PôleCommercial
Fayçel Hedda
Chef  de pôle Commercial
</t>
  </si>
  <si>
    <t>Communication et Marketing</t>
  </si>
  <si>
    <t xml:space="preserve">Pôle Technique et Financier
Faker Rais 
Chef du pôle financier et Technique
</t>
  </si>
  <si>
    <t xml:space="preserve">Pôle financier 
</t>
  </si>
  <si>
    <t>Département Financier</t>
  </si>
  <si>
    <t>Département Précontieux et Contentieux</t>
  </si>
  <si>
    <t>Département recouvrement</t>
  </si>
  <si>
    <t xml:space="preserve">Pôle technique
</t>
  </si>
  <si>
    <t xml:space="preserve">Département Production Automobile
</t>
  </si>
  <si>
    <t xml:space="preserve">Département Sinistres Matériels Auto 
</t>
  </si>
  <si>
    <t xml:space="preserve">AMI - PCA </t>
  </si>
  <si>
    <t>Vis-à-vis AMI</t>
  </si>
  <si>
    <t xml:space="preserve">Département Comptabilité
</t>
  </si>
  <si>
    <t>Anouar Foughali</t>
  </si>
  <si>
    <t xml:space="preserve">Département Assurance Personnes
</t>
  </si>
  <si>
    <t>Raouf Ghoulem</t>
  </si>
  <si>
    <t>Asma Jabeur</t>
  </si>
  <si>
    <t xml:space="preserve">Département IRDS-Transport
</t>
  </si>
  <si>
    <t xml:space="preserve">Département Sinistres Corporels Auto
</t>
  </si>
  <si>
    <t>Zakia  ben Khlifa</t>
  </si>
  <si>
    <t>MOA</t>
  </si>
  <si>
    <t>Nadia Romdhani</t>
  </si>
  <si>
    <t>Nejmeddine Lahbib</t>
  </si>
  <si>
    <t>Département Infrastructure</t>
  </si>
  <si>
    <t>Rabiaa bchini</t>
  </si>
  <si>
    <t>Animation bancassurance</t>
  </si>
  <si>
    <t>Karim ben Ismail</t>
  </si>
  <si>
    <t>Ali Meftah</t>
  </si>
  <si>
    <t>Animation du réseau des agents et des succursales</t>
  </si>
  <si>
    <t xml:space="preserve">CRC ( Centre de recueil Clientèle)
</t>
  </si>
  <si>
    <t>Raouf Naboultane</t>
  </si>
  <si>
    <t>Comptes Grandes Entreprises et Institutionnels</t>
  </si>
  <si>
    <t>Ines Miladi</t>
  </si>
  <si>
    <t>Hédia Arous</t>
  </si>
  <si>
    <t>Contrôle budget</t>
  </si>
  <si>
    <t>Aymen Dali</t>
  </si>
  <si>
    <t>Audit Interne</t>
  </si>
  <si>
    <t>Nejib Tlili</t>
  </si>
  <si>
    <t xml:space="preserve">Fraude
</t>
  </si>
  <si>
    <t>Saida Kebaier</t>
  </si>
  <si>
    <t xml:space="preserve">Risk Management
</t>
  </si>
  <si>
    <t>Monia Zouaoui</t>
  </si>
  <si>
    <t>Conformité</t>
  </si>
  <si>
    <t>Niveau 1</t>
  </si>
  <si>
    <t>Niveau 2</t>
  </si>
  <si>
    <t>Niveau 3</t>
  </si>
  <si>
    <t>Réalisé</t>
  </si>
  <si>
    <t>Fiche envoyée</t>
  </si>
  <si>
    <t>Fiche validée</t>
  </si>
  <si>
    <t>Commentaires</t>
  </si>
  <si>
    <t>Alerte</t>
  </si>
  <si>
    <t>Oui</t>
  </si>
  <si>
    <t>Non</t>
  </si>
  <si>
    <t>En cours</t>
  </si>
  <si>
    <t>Absence de collaborateur au niveau de l'Unité</t>
  </si>
  <si>
    <t>Réassurance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</si>
</sst>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2" x14ac:knownFonts="1">
    <font>
      <sz val="11"/>
      <color theme="1"/>
      <name val="Calibri"/>
      <family val="2"/>
      <scheme val="minor"/>
    </font>
    <font>
      <sz val="16"/>
      <color theme="1"/>
      <name val="Montserrat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name val="Arial"/>
      <family val="2"/>
    </font>
    <font>
      <sz val="24"/>
      <color rgb="FFFF0000"/>
      <name val="Calibri"/>
      <family val="2"/>
      <scheme val="minor"/>
    </font>
    <font>
      <u/>
      <sz val="18"/>
      <color theme="4" tint="-0.499984740745262"/>
      <name val="Arial"/>
      <family val="2"/>
    </font>
    <font>
      <sz val="24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/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Etat de suivi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21-435B-8743-7E433234FE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21-435B-8743-7E433234FE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721-435B-8743-7E433234FE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T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Chiffre!$B$2:$D$2</c:f>
              <c:strCache>
                <c:ptCount val="3"/>
                <c:pt idx="0">
                  <c:v>Réalisé</c:v>
                </c:pt>
                <c:pt idx="1">
                  <c:v>Fiche envoyée</c:v>
                </c:pt>
                <c:pt idx="2">
                  <c:v>Fiche validée</c:v>
                </c:pt>
              </c:strCache>
            </c:strRef>
          </c:cat>
          <c:val>
            <c:numRef>
              <c:f>Chiffre!$B$5:$D$5</c:f>
              <c:numCache>
                <c:formatCode>0.000%</c:formatCode>
                <c:ptCount val="3"/>
                <c:pt idx="0">
                  <c:v>0.30303030303030304</c:v>
                </c:pt>
                <c:pt idx="1">
                  <c:v>0.27272727272727271</c:v>
                </c:pt>
                <c:pt idx="2">
                  <c:v>3.0303030303030304E-2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21-435B-8743-7E433234FE3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T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Etat de suivi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BD-4AFF-803F-A8FBA8A94F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BD-4AFF-803F-A8FBA8A94F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BD-4AFF-803F-A8FBA8A94F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T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Chiffre!$B$2:$D$2</c:f>
              <c:strCache>
                <c:ptCount val="3"/>
                <c:pt idx="0">
                  <c:v>Réalisé</c:v>
                </c:pt>
                <c:pt idx="1">
                  <c:v>Fiche envoyée</c:v>
                </c:pt>
                <c:pt idx="2">
                  <c:v>Fiche validée</c:v>
                </c:pt>
              </c:strCache>
            </c:strRef>
          </c:cat>
          <c:val>
            <c:numRef>
              <c:f>Chiffre!$B$5:$D$5</c:f>
              <c:numCache>
                <c:formatCode>0.000%</c:formatCode>
                <c:ptCount val="3"/>
                <c:pt idx="0">
                  <c:v>0.30303030303030304</c:v>
                </c:pt>
                <c:pt idx="1">
                  <c:v>0.27272727272727271</c:v>
                </c:pt>
                <c:pt idx="2">
                  <c:v>3.0303030303030304E-2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6-41CB-8E2A-3023B996ABC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T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120650</xdr:rowOff>
    </xdr:to>
    <xdr:sp macro="" textlink="">
      <xdr:nvSpPr>
        <xdr:cNvPr id="2051" name="AutoShape 3" descr="data:image/png;base64,iVBORw0KGgoAAAANSUhEUgAAAQMAAADCCAMAAAB6zFdcAAABI1BMVEX///8fF2nuHCX/wgrj4+mpqL0AAFvx8fQAAF+6ucpRTYIEDWftAAv1HCByGFntAADFxNIAAFf4s7TW1t//xgDuCxiRkKxIGGOlGknzen3yZ2r5+fruFiD5yMn60NEAAGv2nZ/5wcH0hYfvQUbvMjj+9fUbEmj0jpDwTVIQAGSwhkL96+tKRn3h4eeFg6Lhqyd1c5mdm7NBPXfPz9lgXopWU4MOCmvuJy5LSH6lo7kAAFE4NHMkHWosJm6+vcxmY46BYVf73t4wKm96eJs8OHamfkvKmTmadU5XQmH1uhluVFvVojLwWVzybG+Ukq0AAEo9LmWJaFVfSF5QPWOpgEjMmzfssyI7LWe/kT93WlqFZVZHNmSSb1DZpjBUP2GsQ2KcaYfJ9TFgAAAQQklEQVR4nO2dD3ubuJaHoQEEJrPBIfHdjjz1dJKqITEEg3FNjKExTjNJOu7/NL2dvbvf/1OsBMbGgB07k7RWy6/P09ggMHp1dHQkkGCYUqVKlSpVqlSpUqVKlSpVqlSpUqVKlSpVqtR3FPgmgt87mwv1RvgGOpG+dzYXSmBZpIkPJQ2xROK6M0AD11YeQLZt+y0HUcGARWKornjU7fWbs92wR40dYGleYN+etFVLsg4df1FCYNecYScBQAkDFnXEinJL4fqyGID4YyiKrTmpoO0G2A/Ik/xTwwBLRkMJLEjIeYjV+pG5uBo2nbAgMTaAoad12KxoYUD8QrM13xYCjSRhXYZRPVLIWlPPpLDDrqAhlCNAE4OolTS44nSGGKXQTAYM5ZiYktoN1ZqXcgAUMyAUBka2fImApUUIKoBRxLi9q6X2So43FwB1DCJbMJV8OhBgQ0AesRKlr0UGkUgJNVFeQIA+BqS0WSffSECjg1DcJOqOhppjlwikJrvIBGhlgBsJ0clfNl9NzB+0hTie4Go98TYAtDLAFDTEZ92jOjUOElhCO9BuNQGaGeDKL9QWHqm0O9oyAGhmIBoLDoNSU5SXJEAvg5TjzwlKFW15AtQy0IL5gbPkrGAD9DKQm3OjZqW5kg1QywD1i4JFIi7orEqATgbImzOcAAxx2baAdgYaX5xYsu5CgEoGYnGTwLWXiQl/DAYdp6hJgC32bkZAIwMkFo2w6nc2AhoZdAouGI4W+UKEUKfTKFBHRtG4Em0MtDCfSA3EednvNDre4O3XL+/ODl+9Op7q6tXN2dnL928/D5AmU8YA9fLOQJKLjADJuKQ/fDm7ubq+2Jmri+NXh+8pY6DlxpCAWdBBRg356+X5p4uNDZLRjQXCuw/pYpDvKen5mAAbwOfzT9cbizM/pUAXA2Rla4Kb7Ryghnf58eK20qeYgZi5hwZHmXrQQV8/Hm8snX0KGWjB7E7QnmkPUAO9+7SCAdDIAPVnoyN1xhWgxtfz6xVNgD4G4uwAotJP3TmUG58/Xq9sAtQxyIQGUhWlbODPw7sBoIzBbI+5Na0HqOMdXtyVAFUM5G56uzHtIjXYswUEisNDShlo6XbRmFiB7L27LiZAsnpxfX386tXHs4/nL4nenZ3F/Ybri4uNBAU9DGQnNYoaJgiwI7gqcARRT+Dq8N2X92/lpI8YKekxfv7z8t35zXFkEvQwSD1OAMMkLOi8vcm1hjhX11eHX/oNDed53v1mJMsdDf+7/Hh1QQ0D2ZpuSyqC3Ph3thpgAMeHlx9Qo7PciIrckN+fn9PCYOoNEitofPiUcW47F5/OvzYaix82yGHQOnQwSHmDUWwFsvz3TGuA/d/Vv9+yjbuMqNHBQJzEBm7cS2q8vZkhsHP895/LVgA6GaBBEiJKUUVAnZcpI9jZuT780LnD/SWqGGhJT8GOnruT0eG0OcAE/v7auDsAShggb3x7kYuiw8aH4ymBjVeXjeWeNqGbgdyOvwCHFHfn5aRF3Nm4eY/yz53+iAySayStIuqcJ/WAEPhnlYAeBskoYosg6Cftwc7Fzdd/4AcpYzC+raLipk/2/mfc0dm5+k9BU4hkjSg9VYXolqiJAgZi9LQBeQ5Zex+7gp2Nqz8ztQCRKT+a1Q5rvK9OJmtxqiq5tTCwMI1O4fPadDBAWvTJ1Fj5QxwV7By/9NIEcPbZQdPkFW7ODDUIOMUNhv05zyuuPwMteghPEdjGZYRg5+KMbaTzLwxNV1k0t2EsqEuGJRQ8u7z+DKJeM9dDnS8EAQ4I3k4cAdI6uPj1FaYnQt11+tnb9GvPAFnkmdxQa7yPEFy/HFfryABq9hLlnxFU3f7sXIa1Z9AhN1YkrXGJTWDn4rDRiT2gyJq5B5aXl2r2UxTWngHpMkJL+4qtYOf6fUxAY5vuvKfzlNFSVYMzphTWnoGAMzsS35IbKB/ZTjTHbTiaP+GR6wsLHmFNC7Romd+Iegyj99njnZ3jS+wLkdYPFs7yq3RYbTDPRjLiDK9DAwPyxIGhHe7sHH7usEjUaovnvJJ4GkeTy2bKrpA2Yt0ZiC6jCme4OWggWWzyt9R1aTy9bbh0c8nj+rXuDJDCmJcbx//pdLTuwkmekeI70XOf5S2SWtHWnEG1x+n9i5uOJraXuVAueiJBWDjdOadAWHMGQ2Z083dD6855RDkrGGpIWzzJJ6fRmjMQ+saHLxpylw8H3Wp7xaU91p4Bi7v/tZUytUz3aUbrzwC1V3Bwd9L6M/jf7YfW/615uyD8a/OhtfXfa8/gl0f13bTq9fqjGc3uzimTOq9fKGBQP/g1rYODvfrmbgrB/uOF2oshbM1TnQYGm78xcCLm2dHR0en262nx1l8vPsPjiNf+b0/m6IAGBlu/FWw/fb27CoP6/rN5+1/v0sqAOUogrMjgWUY0M2CebI0Z7P0+1Wm872lq00E9zWD714z+ekFVXdh+/nx7+3Sya1IZUs3c03jX463ptvqjFIPTrVy7QUW7MGHw19bu5taj7WTXQb7VSxj8sZvZkTDY3qSzbZwyIDnb3Utq9v4dGPy29UMwOBh/Oy3Izk/AYGtza2s/+fY4m8/lGNRTopDBk6dPnyYuET4vQHA7gyf7exMdjCNIqhik9PRgq6gfcCsDEmVO9HSTagbM0e97d6kLMxpHGNQywEX6ax7Cj8/g6JRokpkCCLcyOP3j+VRjr0oVg8ePXmDtP04onOYCniXahZkQkT4Gf+1GLdrWH+PvcC/rF3+C+CDOWf3gaHbDT8hg83GyM+cQ5jJ49CIOLOhnQCrz5tZBEic9e7F0XXi0G3e1ntDOYJs48+3TyQ2X7VyG5jOov44Oe/ZXvuNIFYOMjnIucQGDZNezx5s0jqnOYXCaqwkLGdT3kyp09KOMqcLfC4YPFjFINSezomM88cnsJvjs9OnzF5tFfabN7SiWPCrqVz/affH7aXZElZYx1frewYz29vbr8+4evdiP9KJwZ3031XOeiIox1Uf1nIoBRPlcuD9/JpyWAgabvzy01p4B+18Prn+tOYOq/A205gyGlW8gq2AB91KlSpUqVapUqVJU6iHeOvkd32QJw2SeIhwtfDxbiaYyAXOE/19y7toqUlec9nCfqkyWwAqri2Zt6kLfxX8kQTRhUF0hxIdqvoR1kN5IgII5y7h/E3koybkpLCpduyoKPMO0qm2FqQgrzHFVqs3sJr06FMzkxzjTwjy46iwDf9WXRq4szvCN8Y8EWjIdcT6DqMx03zwJJTGqCsKSUxgjqfnEqjrdaBqKnmPADee+5+JeRKhbjmVABqhk9mJCfB4D6FaM8XIgWieqtbUquUDbz6Unm7mcjRA3A5XZuaFcdCzE2xSLFEfWDkDh6v73NZ8Ejia/4/QgY0QL6ZPrnsMAWMN21Yk+tjw0ZTB6czJIHUCmgPPYPrjeMHMCvorrUHhy4qRPOoiWHyMHxciyDGDR5Dijek81RJksEQwdfM6aiPOj9lvzGOjNAIOq4kvSA0e1+2SGm4sZKKyiD6L1IaIiVYSQvLuxDZl2NeMDVdlk+IGqyOnxooDYOnAmNgMyDGpsQXb96rwXhK4oSTB5KZJveoBxhahu4E+maEi1WbmSZAlOTVWrNYYb9HjfD8iaohLOZijzUiV6H0VkV7DN8pLviDXfFPz0aSSJ742YykCSho7UikV+mqy2o6O2G1+KxIsW3xpfF7m0UAz91sy14KOkk3sacuLaYjURxmqQFo/RTzhc2EI1pxPTaAqCiADjC6IQH8IYLTJLtypohIEdN+wq2Yt61arYy55DBNjrVAUkps9LjAKacvKd9WZ/nJULLqZaua9ACqgT4Sz40WlHuFhS21PCntM2BtLkMFLyEjlGV22L2O8oNmJQ9bGz53AKLnsKnSwCovr9cPa8TLQ5SaNnjim8mLsvO7FYkINcWL11bFevzcx1BZDBR5E62xJbuq7UsiuRM5nUuoX+aXAJb3u58N3PPBp6wqI30EUCXd6euYJwyMavMAYVkWXFfrCoPefMHvL+cV2WvPDBOhXK6PYRfhiizPuKJWOcKei3Wv4tEQ1wjXto1vT776asJLDktO9SpdZIgPtZNfUXtsv/nHIfeo5+qR9LUMFdkhUbWmCmIgg77tZk41Y7CRFuOzlv5iKd6JQzIQb0H3KMlRsEZrO7WuQN0ovCGIOexg772bDPccdprYJaCVMZHDm57JnasNefCdT0yswVwvsdVeJw/iFyVzoGVmYjpGDR4UUFyKcW7m8VMMiPC8ym4dHC61tVXBMTZnnGDgYOLjFTMVGAt4CwH0gh5Eh3OMRF4jv98QiaZA1HxA54a2jEVwbb+JoVHLxDQ2J4voUq+ESGj3tR/TYAJo6KR8NhnC3YsiyX4YdeO8Kmml4YtiFjt3tk/GQ0jI3GjMcgDCkQW8BAAWA4AwBDaY90s9eVGKXHtnnGtax7Cla5puSbOKeKr7c0wDgyr+A+MHAqtiT2GP0Nzvigxdh9RXeiFXUVgVdNAefVstUkY4SBNMAMui2mJhi2iYtp6DJBoEsQIJsZtVVlENl2rasqrM+Fw2igGHim6opthuvxes2BUs9WIiM3TdtWAOyyvFStjPy+gbuZHGh6hq1KHF/lQOgpuqop9j01fpxlhk1S8oxun6iMg7uMvgWkPs57a8DoJ/hvr8U4IwB8MioGnRpZVVdiBjwAfPxi55hBDzOoYAbYtLkTjsHFPST9OuDZsGrjUgzI0W/wp1rA8PErbVxyvOEwNWwu3InO98YdKXNoBm0VWmREr40trgKxtYJmZB26jT2F28dXucoaZLcwIP6g22Zsxwk1zAD/kNoFLTISKk0YgK7lOBUyZgq6ZPwE+4Nq13GaFZBnEJB8RwxsYveYASdUHMci7l8VyaeQGcMLyXhLy2HCgVNxWBu0x/VtXBeIqZMkUhdEDCQyiNkM+37EAB8V3NMgCmHAuAPGw/noYwa1iIHbw7v4QVwXhi3Y5aO1P8ZNAvGJVWW8ZczAR2MGuHqDfsSA+C6fMHijj9PqQvzJjRkYZKBlhBmETLxf7YULGPi4OLCZtmM7wGdznFx27sagqTLc0ASswkR1gTBoApWVyCg6w3kStOUWY+C2CUZlRD5JooQrOxhviRnoJwrja26aAQdxNjADJrp5EeXaiz/xVvTVFn1c09uM5KnkXABEVoQZ1CAAsIiByGNbws6IhSQ1b91P1MB5zbaGnXKbDZpIwpdLSgMwo2q7Z2JjMIRKF/sIYHlBNxpdAt6gbfV4HFcMgubYJ1ZIuZmi42BjMrA/AKJOHGm/UvE4INqMylqBFflE27OCoY83DKOvptjuBfgAQwicABqDIH7vUyA3m9gZDLApmRgK3wN6jwM9iSx0H1iDEaPKQ781COTVmvQFEOx4QFNVyX0eUj5R8QIbKgOy2Y6/c5PAL05IvFOyJS5jkhKOD45OBGw12anaSdUdfxqPxHH4b/xrarQvNqx4afLoSHKDCcYWB+Kh2/jHccrpOR9Qfv/hf2PdpVS+9xWsgb7jsyClSpUqVapUqVKlSpUqVapUqVKlSpUqVapUqe+l/wfic5Y1SmmGAAAAAABJRU5ErkJggg==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1524000" y="12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57150</xdr:rowOff>
    </xdr:from>
    <xdr:to>
      <xdr:col>1</xdr:col>
      <xdr:colOff>618276</xdr:colOff>
      <xdr:row>4</xdr:row>
      <xdr:rowOff>19050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57150"/>
          <a:ext cx="1278676" cy="698500"/>
        </a:xfrm>
        <a:prstGeom prst="rect">
          <a:avLst/>
        </a:prstGeom>
      </xdr:spPr>
    </xdr:pic>
    <xdr:clientData/>
  </xdr:twoCellAnchor>
  <xdr:twoCellAnchor editAs="oneCell">
    <xdr:from>
      <xdr:col>6</xdr:col>
      <xdr:colOff>236221</xdr:colOff>
      <xdr:row>7</xdr:row>
      <xdr:rowOff>137633</xdr:rowOff>
    </xdr:from>
    <xdr:to>
      <xdr:col>8</xdr:col>
      <xdr:colOff>708661</xdr:colOff>
      <xdr:row>11</xdr:row>
      <xdr:rowOff>122767</xdr:rowOff>
    </xdr:to>
    <xdr:pic>
      <xdr:nvPicPr>
        <xdr:cNvPr id="4" name="Image 3" descr="Accueil">
          <a:extLst>
            <a:ext uri="{FF2B5EF4-FFF2-40B4-BE49-F238E27FC236}">
              <a16:creationId xmlns:a16="http://schemas.microsoft.com/office/drawing/2014/main" id="{CDBED490-A467-45D0-AC7C-9C35035DF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1" y="1417793"/>
          <a:ext cx="2057400" cy="716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0</xdr:col>
      <xdr:colOff>3157930</xdr:colOff>
      <xdr:row>4</xdr:row>
      <xdr:rowOff>127000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52400"/>
          <a:ext cx="2929330" cy="1600200"/>
        </a:xfrm>
        <a:prstGeom prst="rect">
          <a:avLst/>
        </a:prstGeom>
      </xdr:spPr>
    </xdr:pic>
    <xdr:clientData/>
  </xdr:twoCellAnchor>
  <xdr:twoCellAnchor editAs="oneCell">
    <xdr:from>
      <xdr:col>4</xdr:col>
      <xdr:colOff>1841500</xdr:colOff>
      <xdr:row>0</xdr:row>
      <xdr:rowOff>275167</xdr:rowOff>
    </xdr:from>
    <xdr:to>
      <xdr:col>6</xdr:col>
      <xdr:colOff>243601</xdr:colOff>
      <xdr:row>3</xdr:row>
      <xdr:rowOff>296334</xdr:rowOff>
    </xdr:to>
    <xdr:pic>
      <xdr:nvPicPr>
        <xdr:cNvPr id="3" name="Image 2" descr="Accueil">
          <a:extLst>
            <a:ext uri="{FF2B5EF4-FFF2-40B4-BE49-F238E27FC236}">
              <a16:creationId xmlns:a16="http://schemas.microsoft.com/office/drawing/2014/main" id="{8DD92CA2-669A-DC44-7C62-7E4C0AF0A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28333" y="275167"/>
          <a:ext cx="3524435" cy="1227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635000</xdr:colOff>
      <xdr:row>1</xdr:row>
      <xdr:rowOff>42334</xdr:rowOff>
    </xdr:from>
    <xdr:to>
      <xdr:col>20</xdr:col>
      <xdr:colOff>423334</xdr:colOff>
      <xdr:row>9</xdr:row>
      <xdr:rowOff>42333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A2E1C92-7EF1-47AD-BA44-DE1F67229A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617220</xdr:colOff>
      <xdr:row>2</xdr:row>
      <xdr:rowOff>38100</xdr:rowOff>
    </xdr:from>
    <xdr:to>
      <xdr:col>10</xdr:col>
      <xdr:colOff>434340</xdr:colOff>
      <xdr:row>17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9BAC756-1DC0-AB95-CC32-1DA65E849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2:J15"/>
  <sheetViews>
    <sheetView showGridLines="0" zoomScale="49" workbookViewId="0">
      <selection activeCell="H25" sqref="H25"/>
    </sheetView>
  </sheetViews>
  <sheetFormatPr baseColWidth="10" defaultRowHeight="14.4" x14ac:dyDescent="0.3"/>
  <sheetData>
    <row r="12" spans="7:10" ht="24.6" x14ac:dyDescent="0.3">
      <c r="G12" s="1"/>
      <c r="H12" s="1"/>
      <c r="I12" s="1"/>
      <c r="J12" s="1"/>
    </row>
    <row r="13" spans="7:10" ht="24.6" x14ac:dyDescent="0.3">
      <c r="G13" s="9"/>
      <c r="H13" s="9" t="s">
        <v>32</v>
      </c>
      <c r="I13" s="9"/>
      <c r="J13" s="1"/>
    </row>
    <row r="14" spans="7:10" ht="24.6" x14ac:dyDescent="0.3">
      <c r="G14" s="9"/>
      <c r="H14" s="9" t="s">
        <v>0</v>
      </c>
      <c r="I14" s="9"/>
      <c r="J14" s="1"/>
    </row>
    <row r="15" spans="7:10" ht="24.6" x14ac:dyDescent="0.3">
      <c r="G15" s="1"/>
      <c r="H15" s="1"/>
      <c r="I15" s="1"/>
      <c r="J1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K66"/>
  <sheetViews>
    <sheetView tabSelected="1" topLeftCell="B1" zoomScale="39" zoomScaleNormal="36" workbookViewId="0">
      <selection activeCell="H1" sqref="H1"/>
    </sheetView>
  </sheetViews>
  <sheetFormatPr baseColWidth="10" defaultRowHeight="31.2" x14ac:dyDescent="0.6"/>
  <cols>
    <col min="1" max="1" width="70.44140625" customWidth="1"/>
    <col min="2" max="2" width="143.88671875" style="2" customWidth="1"/>
    <col min="3" max="3" width="126.88671875" style="2" customWidth="1"/>
    <col min="4" max="4" width="36.33203125" style="2" customWidth="1"/>
    <col min="5" max="5" width="28.88671875" style="2" customWidth="1"/>
    <col min="6" max="6" width="45.5546875" style="2" customWidth="1"/>
    <col min="7" max="7" width="49.21875" customWidth="1"/>
    <col min="8" max="8" width="37.77734375" customWidth="1"/>
    <col min="9" max="9" width="52.6640625" customWidth="1"/>
    <col min="10" max="10" width="57.6640625" customWidth="1"/>
    <col min="11" max="11" width="41.5546875" customWidth="1"/>
  </cols>
  <sheetData>
    <row r="5" spans="1:11" x14ac:dyDescent="0.6">
      <c r="E5"/>
    </row>
    <row r="6" spans="1:11" ht="51.9" customHeight="1" x14ac:dyDescent="0.3">
      <c r="A6" s="4" t="s">
        <v>65</v>
      </c>
      <c r="B6" s="4" t="s">
        <v>66</v>
      </c>
      <c r="C6" s="4" t="s">
        <v>67</v>
      </c>
      <c r="D6" s="4" t="s">
        <v>33</v>
      </c>
      <c r="E6" s="4" t="s">
        <v>1</v>
      </c>
      <c r="F6" s="4" t="s">
        <v>2</v>
      </c>
      <c r="G6" s="4" t="s">
        <v>68</v>
      </c>
      <c r="H6" s="4" t="s">
        <v>69</v>
      </c>
      <c r="I6" s="4" t="s">
        <v>70</v>
      </c>
      <c r="J6" s="4" t="s">
        <v>71</v>
      </c>
      <c r="K6" s="4" t="s">
        <v>72</v>
      </c>
    </row>
    <row r="7" spans="1:11" ht="89.1" customHeight="1" x14ac:dyDescent="0.3">
      <c r="A7" s="23" t="s">
        <v>7</v>
      </c>
      <c r="B7" s="5" t="s">
        <v>15</v>
      </c>
      <c r="C7" s="19"/>
      <c r="D7" s="7" t="s">
        <v>6</v>
      </c>
      <c r="E7" s="8">
        <v>44980</v>
      </c>
      <c r="F7" s="6" t="s">
        <v>3</v>
      </c>
      <c r="G7" s="6" t="s">
        <v>73</v>
      </c>
      <c r="H7" s="6" t="s">
        <v>73</v>
      </c>
      <c r="I7" s="6" t="s">
        <v>75</v>
      </c>
      <c r="J7" s="6"/>
      <c r="K7" s="14" t="str">
        <f t="shared" ref="K7:K38" si="0">IF(COUNTIF(G7:I7,"Oui")=3,"Ok","KO")</f>
        <v>KO</v>
      </c>
    </row>
    <row r="8" spans="1:11" ht="84.6" customHeight="1" x14ac:dyDescent="0.3">
      <c r="A8" s="24"/>
      <c r="B8" s="5" t="s">
        <v>16</v>
      </c>
      <c r="C8" s="20"/>
      <c r="D8" s="7" t="s">
        <v>6</v>
      </c>
      <c r="E8" s="8">
        <v>44980</v>
      </c>
      <c r="F8" s="6" t="s">
        <v>4</v>
      </c>
      <c r="G8" s="6" t="s">
        <v>73</v>
      </c>
      <c r="H8" s="6" t="s">
        <v>73</v>
      </c>
      <c r="I8" s="6" t="s">
        <v>75</v>
      </c>
      <c r="J8" s="6"/>
      <c r="K8" s="14" t="str">
        <f t="shared" si="0"/>
        <v>KO</v>
      </c>
    </row>
    <row r="9" spans="1:11" ht="62.4" x14ac:dyDescent="0.3">
      <c r="A9" s="24"/>
      <c r="B9" s="25" t="s">
        <v>13</v>
      </c>
      <c r="C9" s="5" t="s">
        <v>9</v>
      </c>
      <c r="D9" s="7" t="s">
        <v>6</v>
      </c>
      <c r="E9" s="8">
        <v>44984</v>
      </c>
      <c r="F9" s="6" t="s">
        <v>3</v>
      </c>
      <c r="G9" s="6" t="s">
        <v>73</v>
      </c>
      <c r="H9" s="6" t="s">
        <v>73</v>
      </c>
      <c r="I9" s="6" t="s">
        <v>75</v>
      </c>
      <c r="J9" s="6"/>
      <c r="K9" s="14" t="str">
        <f t="shared" si="0"/>
        <v>KO</v>
      </c>
    </row>
    <row r="10" spans="1:11" ht="93.6" x14ac:dyDescent="0.3">
      <c r="A10" s="24"/>
      <c r="B10" s="26"/>
      <c r="C10" s="5" t="s">
        <v>10</v>
      </c>
      <c r="D10" s="7" t="s">
        <v>6</v>
      </c>
      <c r="E10" s="8">
        <v>44984</v>
      </c>
      <c r="F10" s="6" t="s">
        <v>4</v>
      </c>
      <c r="G10" s="6" t="s">
        <v>73</v>
      </c>
      <c r="H10" s="6" t="s">
        <v>73</v>
      </c>
      <c r="I10" s="6" t="s">
        <v>75</v>
      </c>
      <c r="J10" s="6"/>
      <c r="K10" s="14" t="str">
        <f t="shared" si="0"/>
        <v>KO</v>
      </c>
    </row>
    <row r="11" spans="1:11" ht="93.6" x14ac:dyDescent="0.3">
      <c r="A11" s="24"/>
      <c r="B11" s="27"/>
      <c r="C11" s="5" t="s">
        <v>11</v>
      </c>
      <c r="D11" s="7" t="s">
        <v>12</v>
      </c>
      <c r="E11" s="8">
        <v>44984</v>
      </c>
      <c r="F11" s="6" t="s">
        <v>5</v>
      </c>
      <c r="G11" s="6" t="s">
        <v>73</v>
      </c>
      <c r="H11" s="6" t="s">
        <v>73</v>
      </c>
      <c r="I11" s="6" t="s">
        <v>73</v>
      </c>
      <c r="J11" s="6"/>
      <c r="K11" s="14" t="str">
        <f t="shared" si="0"/>
        <v>Ok</v>
      </c>
    </row>
    <row r="12" spans="1:11" ht="61.2" customHeight="1" x14ac:dyDescent="0.3">
      <c r="A12" s="24"/>
      <c r="B12" s="5" t="s">
        <v>14</v>
      </c>
      <c r="C12" s="19"/>
      <c r="D12" s="7" t="s">
        <v>6</v>
      </c>
      <c r="E12" s="8">
        <v>44985</v>
      </c>
      <c r="F12" s="6" t="s">
        <v>3</v>
      </c>
      <c r="G12" s="6" t="s">
        <v>73</v>
      </c>
      <c r="H12" s="6" t="s">
        <v>73</v>
      </c>
      <c r="I12" s="6" t="s">
        <v>75</v>
      </c>
      <c r="J12" s="6"/>
      <c r="K12" s="14" t="str">
        <f t="shared" si="0"/>
        <v>KO</v>
      </c>
    </row>
    <row r="13" spans="1:11" ht="81" customHeight="1" x14ac:dyDescent="0.3">
      <c r="A13" s="24"/>
      <c r="B13" s="10" t="s">
        <v>8</v>
      </c>
      <c r="C13" s="21"/>
      <c r="D13" s="7" t="s">
        <v>6</v>
      </c>
      <c r="E13" s="8">
        <v>44985</v>
      </c>
      <c r="F13" s="6" t="s">
        <v>4</v>
      </c>
      <c r="G13" s="6" t="s">
        <v>74</v>
      </c>
      <c r="H13" s="6" t="s">
        <v>74</v>
      </c>
      <c r="I13" s="6" t="s">
        <v>74</v>
      </c>
      <c r="J13" s="29" t="s">
        <v>76</v>
      </c>
      <c r="K13" s="14" t="str">
        <f t="shared" si="0"/>
        <v>KO</v>
      </c>
    </row>
    <row r="14" spans="1:11" ht="121.2" customHeight="1" x14ac:dyDescent="0.3">
      <c r="A14" s="23" t="s">
        <v>24</v>
      </c>
      <c r="B14" s="25" t="s">
        <v>25</v>
      </c>
      <c r="C14" s="5" t="s">
        <v>34</v>
      </c>
      <c r="D14" s="12" t="s">
        <v>35</v>
      </c>
      <c r="E14" s="8">
        <v>44987</v>
      </c>
      <c r="F14" s="6" t="s">
        <v>3</v>
      </c>
      <c r="G14" s="6" t="s">
        <v>73</v>
      </c>
      <c r="H14" s="6" t="s">
        <v>73</v>
      </c>
      <c r="I14" s="6" t="s">
        <v>75</v>
      </c>
      <c r="J14" s="6"/>
      <c r="K14" s="14" t="str">
        <f t="shared" si="0"/>
        <v>KO</v>
      </c>
    </row>
    <row r="15" spans="1:11" ht="33.6" customHeight="1" x14ac:dyDescent="0.3">
      <c r="A15" s="24"/>
      <c r="B15" s="26"/>
      <c r="C15" s="5" t="s">
        <v>26</v>
      </c>
      <c r="D15" s="7" t="s">
        <v>6</v>
      </c>
      <c r="E15" s="8">
        <v>44987</v>
      </c>
      <c r="F15" s="6" t="s">
        <v>4</v>
      </c>
      <c r="G15" s="6" t="s">
        <v>75</v>
      </c>
      <c r="H15" s="6" t="s">
        <v>75</v>
      </c>
      <c r="I15" s="6" t="s">
        <v>75</v>
      </c>
      <c r="J15" s="6"/>
      <c r="K15" s="14" t="str">
        <f t="shared" si="0"/>
        <v>KO</v>
      </c>
    </row>
    <row r="16" spans="1:11" ht="33.6" customHeight="1" x14ac:dyDescent="0.3">
      <c r="A16" s="24"/>
      <c r="B16" s="26"/>
      <c r="C16" s="5" t="s">
        <v>27</v>
      </c>
      <c r="D16" s="7" t="s">
        <v>6</v>
      </c>
      <c r="E16" s="8">
        <v>44987</v>
      </c>
      <c r="F16" s="6" t="s">
        <v>5</v>
      </c>
      <c r="G16" s="6" t="s">
        <v>73</v>
      </c>
      <c r="H16" s="6" t="s">
        <v>73</v>
      </c>
      <c r="I16" s="6" t="s">
        <v>75</v>
      </c>
      <c r="J16" s="6"/>
      <c r="K16" s="14" t="str">
        <f t="shared" si="0"/>
        <v>KO</v>
      </c>
    </row>
    <row r="17" spans="1:11" ht="33.6" customHeight="1" x14ac:dyDescent="0.3">
      <c r="A17" s="24"/>
      <c r="B17" s="27"/>
      <c r="C17" s="5" t="s">
        <v>28</v>
      </c>
      <c r="D17" s="7" t="s">
        <v>6</v>
      </c>
      <c r="E17" s="8">
        <v>44991</v>
      </c>
      <c r="F17" s="6" t="s">
        <v>3</v>
      </c>
      <c r="G17" s="6" t="s">
        <v>73</v>
      </c>
      <c r="H17" s="6" t="s">
        <v>73</v>
      </c>
      <c r="I17" s="6" t="s">
        <v>75</v>
      </c>
      <c r="J17" s="6"/>
      <c r="K17" s="14" t="str">
        <f t="shared" si="0"/>
        <v>KO</v>
      </c>
    </row>
    <row r="18" spans="1:11" ht="62.4" x14ac:dyDescent="0.3">
      <c r="A18" s="24"/>
      <c r="B18" s="25" t="s">
        <v>29</v>
      </c>
      <c r="C18" s="5" t="s">
        <v>36</v>
      </c>
      <c r="D18" s="12" t="s">
        <v>37</v>
      </c>
      <c r="E18" s="8">
        <v>44991</v>
      </c>
      <c r="F18" s="6" t="s">
        <v>4</v>
      </c>
      <c r="G18" s="6" t="s">
        <v>75</v>
      </c>
      <c r="H18" s="6" t="s">
        <v>75</v>
      </c>
      <c r="I18" s="6" t="s">
        <v>75</v>
      </c>
      <c r="J18" s="6"/>
      <c r="K18" s="14" t="str">
        <f t="shared" si="0"/>
        <v>KO</v>
      </c>
    </row>
    <row r="19" spans="1:11" ht="62.4" x14ac:dyDescent="0.3">
      <c r="A19" s="24"/>
      <c r="B19" s="26"/>
      <c r="C19" s="5" t="s">
        <v>39</v>
      </c>
      <c r="D19" s="12" t="s">
        <v>38</v>
      </c>
      <c r="E19" s="8">
        <v>44991</v>
      </c>
      <c r="F19" s="6" t="s">
        <v>5</v>
      </c>
      <c r="G19" s="6" t="s">
        <v>75</v>
      </c>
      <c r="H19" s="6" t="s">
        <v>75</v>
      </c>
      <c r="I19" s="6" t="s">
        <v>75</v>
      </c>
      <c r="J19" s="6"/>
      <c r="K19" s="14" t="str">
        <f t="shared" si="0"/>
        <v>KO</v>
      </c>
    </row>
    <row r="20" spans="1:11" ht="62.4" x14ac:dyDescent="0.3">
      <c r="A20" s="24"/>
      <c r="B20" s="26"/>
      <c r="C20" s="5" t="s">
        <v>30</v>
      </c>
      <c r="D20" s="7" t="s">
        <v>6</v>
      </c>
      <c r="E20" s="8">
        <v>44992</v>
      </c>
      <c r="F20" s="6" t="s">
        <v>3</v>
      </c>
      <c r="G20" s="6" t="s">
        <v>75</v>
      </c>
      <c r="H20" s="6" t="s">
        <v>75</v>
      </c>
      <c r="I20" s="6" t="s">
        <v>75</v>
      </c>
      <c r="J20" s="6"/>
      <c r="K20" s="14" t="str">
        <f t="shared" si="0"/>
        <v>KO</v>
      </c>
    </row>
    <row r="21" spans="1:11" ht="62.4" x14ac:dyDescent="0.3">
      <c r="A21" s="24"/>
      <c r="B21" s="26"/>
      <c r="C21" s="5" t="s">
        <v>40</v>
      </c>
      <c r="D21" s="12" t="s">
        <v>41</v>
      </c>
      <c r="E21" s="8">
        <v>44992</v>
      </c>
      <c r="F21" s="6" t="s">
        <v>4</v>
      </c>
      <c r="G21" s="6" t="s">
        <v>75</v>
      </c>
      <c r="H21" s="6" t="s">
        <v>75</v>
      </c>
      <c r="I21" s="6" t="s">
        <v>75</v>
      </c>
      <c r="J21" s="6"/>
      <c r="K21" s="14" t="str">
        <f t="shared" si="0"/>
        <v>KO</v>
      </c>
    </row>
    <row r="22" spans="1:11" ht="62.4" x14ac:dyDescent="0.3">
      <c r="A22" s="24"/>
      <c r="B22" s="27"/>
      <c r="C22" s="5" t="s">
        <v>31</v>
      </c>
      <c r="D22" s="7" t="s">
        <v>6</v>
      </c>
      <c r="E22" s="8">
        <v>44992</v>
      </c>
      <c r="F22" s="6" t="s">
        <v>5</v>
      </c>
      <c r="G22" s="6" t="s">
        <v>75</v>
      </c>
      <c r="H22" s="6" t="s">
        <v>75</v>
      </c>
      <c r="I22" s="6" t="s">
        <v>75</v>
      </c>
      <c r="J22" s="6"/>
      <c r="K22" s="14" t="str">
        <f t="shared" si="0"/>
        <v>KO</v>
      </c>
    </row>
    <row r="23" spans="1:11" ht="72.599999999999994" customHeight="1" x14ac:dyDescent="0.3">
      <c r="A23" s="22" t="s">
        <v>17</v>
      </c>
      <c r="B23" s="5" t="s">
        <v>18</v>
      </c>
      <c r="C23" s="28"/>
      <c r="D23" s="7" t="s">
        <v>6</v>
      </c>
      <c r="E23" s="8">
        <v>44994</v>
      </c>
      <c r="F23" s="6" t="s">
        <v>3</v>
      </c>
      <c r="G23" s="6" t="s">
        <v>75</v>
      </c>
      <c r="H23" s="6" t="s">
        <v>75</v>
      </c>
      <c r="I23" s="6" t="s">
        <v>75</v>
      </c>
      <c r="J23" s="6"/>
      <c r="K23" s="14" t="str">
        <f t="shared" si="0"/>
        <v>KO</v>
      </c>
    </row>
    <row r="24" spans="1:11" ht="93" customHeight="1" x14ac:dyDescent="0.3">
      <c r="A24" s="22"/>
      <c r="B24" s="5" t="s">
        <v>19</v>
      </c>
      <c r="C24" s="28"/>
      <c r="D24" s="7" t="s">
        <v>6</v>
      </c>
      <c r="E24" s="8">
        <v>44994</v>
      </c>
      <c r="F24" s="6" t="s">
        <v>4</v>
      </c>
      <c r="G24" s="6" t="s">
        <v>75</v>
      </c>
      <c r="H24" s="6" t="s">
        <v>75</v>
      </c>
      <c r="I24" s="6" t="s">
        <v>75</v>
      </c>
      <c r="J24" s="6"/>
      <c r="K24" s="14" t="str">
        <f t="shared" si="0"/>
        <v>KO</v>
      </c>
    </row>
    <row r="25" spans="1:11" ht="87" customHeight="1" x14ac:dyDescent="0.3">
      <c r="A25" s="22"/>
      <c r="B25" s="5" t="s">
        <v>45</v>
      </c>
      <c r="C25" s="28"/>
      <c r="D25" s="5" t="s">
        <v>44</v>
      </c>
      <c r="E25" s="8">
        <v>44994</v>
      </c>
      <c r="F25" s="6" t="s">
        <v>5</v>
      </c>
      <c r="G25" s="6" t="s">
        <v>75</v>
      </c>
      <c r="H25" s="6" t="s">
        <v>75</v>
      </c>
      <c r="I25" s="6" t="s">
        <v>75</v>
      </c>
      <c r="J25" s="6"/>
      <c r="K25" s="14" t="str">
        <f t="shared" si="0"/>
        <v>KO</v>
      </c>
    </row>
    <row r="26" spans="1:11" ht="106.5" customHeight="1" x14ac:dyDescent="0.3">
      <c r="A26" s="22"/>
      <c r="B26" s="5" t="s">
        <v>42</v>
      </c>
      <c r="C26" s="28"/>
      <c r="D26" s="5" t="s">
        <v>43</v>
      </c>
      <c r="E26" s="8">
        <v>44998</v>
      </c>
      <c r="F26" s="6" t="s">
        <v>3</v>
      </c>
      <c r="G26" s="6" t="s">
        <v>75</v>
      </c>
      <c r="H26" s="6" t="s">
        <v>75</v>
      </c>
      <c r="I26" s="6" t="s">
        <v>75</v>
      </c>
      <c r="J26" s="6"/>
      <c r="K26" s="14" t="str">
        <f t="shared" si="0"/>
        <v>KO</v>
      </c>
    </row>
    <row r="27" spans="1:11" ht="113.4" customHeight="1" x14ac:dyDescent="0.3">
      <c r="A27" s="22"/>
      <c r="B27" s="5" t="s">
        <v>20</v>
      </c>
      <c r="C27" s="28"/>
      <c r="D27" s="13" t="s">
        <v>46</v>
      </c>
      <c r="E27" s="8">
        <v>44998</v>
      </c>
      <c r="F27" s="6" t="s">
        <v>4</v>
      </c>
      <c r="G27" s="6" t="s">
        <v>75</v>
      </c>
      <c r="H27" s="6" t="s">
        <v>75</v>
      </c>
      <c r="I27" s="6" t="s">
        <v>75</v>
      </c>
      <c r="J27" s="6"/>
      <c r="K27" s="14" t="str">
        <f t="shared" si="0"/>
        <v>KO</v>
      </c>
    </row>
    <row r="28" spans="1:11" ht="113.4" customHeight="1" x14ac:dyDescent="0.3">
      <c r="A28" s="22" t="s">
        <v>22</v>
      </c>
      <c r="B28" s="5" t="s">
        <v>47</v>
      </c>
      <c r="C28" s="28"/>
      <c r="D28" s="12" t="s">
        <v>48</v>
      </c>
      <c r="E28" s="8">
        <v>44998</v>
      </c>
      <c r="F28" s="6" t="s">
        <v>5</v>
      </c>
      <c r="G28" s="6" t="s">
        <v>75</v>
      </c>
      <c r="H28" s="6" t="s">
        <v>75</v>
      </c>
      <c r="I28" s="6" t="s">
        <v>75</v>
      </c>
      <c r="J28" s="6"/>
      <c r="K28" s="14" t="str">
        <f t="shared" si="0"/>
        <v>KO</v>
      </c>
    </row>
    <row r="29" spans="1:11" ht="113.4" customHeight="1" x14ac:dyDescent="0.3">
      <c r="A29" s="22"/>
      <c r="B29" s="5" t="s">
        <v>50</v>
      </c>
      <c r="C29" s="28"/>
      <c r="D29" s="12" t="s">
        <v>49</v>
      </c>
      <c r="E29" s="8">
        <v>44999</v>
      </c>
      <c r="F29" s="6" t="s">
        <v>3</v>
      </c>
      <c r="G29" s="6" t="s">
        <v>75</v>
      </c>
      <c r="H29" s="6" t="s">
        <v>75</v>
      </c>
      <c r="I29" s="6" t="s">
        <v>75</v>
      </c>
      <c r="J29" s="6"/>
      <c r="K29" s="14" t="str">
        <f t="shared" si="0"/>
        <v>KO</v>
      </c>
    </row>
    <row r="30" spans="1:11" ht="113.4" customHeight="1" x14ac:dyDescent="0.3">
      <c r="A30" s="22"/>
      <c r="B30" s="5" t="s">
        <v>23</v>
      </c>
      <c r="C30" s="28"/>
      <c r="D30" s="7" t="s">
        <v>6</v>
      </c>
      <c r="E30" s="8">
        <v>44999</v>
      </c>
      <c r="F30" s="6" t="s">
        <v>4</v>
      </c>
      <c r="G30" s="6" t="s">
        <v>75</v>
      </c>
      <c r="H30" s="6" t="s">
        <v>75</v>
      </c>
      <c r="I30" s="6" t="s">
        <v>75</v>
      </c>
      <c r="J30" s="6"/>
      <c r="K30" s="14" t="str">
        <f t="shared" si="0"/>
        <v>KO</v>
      </c>
    </row>
    <row r="31" spans="1:11" ht="113.4" customHeight="1" x14ac:dyDescent="0.3">
      <c r="A31" s="22"/>
      <c r="B31" s="5" t="s">
        <v>51</v>
      </c>
      <c r="C31" s="28"/>
      <c r="D31" s="12" t="s">
        <v>52</v>
      </c>
      <c r="E31" s="8">
        <v>44999</v>
      </c>
      <c r="F31" s="6" t="s">
        <v>5</v>
      </c>
      <c r="G31" s="6" t="s">
        <v>75</v>
      </c>
      <c r="H31" s="6" t="s">
        <v>75</v>
      </c>
      <c r="I31" s="6" t="s">
        <v>75</v>
      </c>
      <c r="J31" s="6"/>
      <c r="K31" s="14" t="str">
        <f t="shared" si="0"/>
        <v>KO</v>
      </c>
    </row>
    <row r="32" spans="1:11" ht="113.4" customHeight="1" x14ac:dyDescent="0.3">
      <c r="A32" s="22"/>
      <c r="B32" s="5" t="s">
        <v>53</v>
      </c>
      <c r="C32" s="28"/>
      <c r="D32" s="12" t="s">
        <v>54</v>
      </c>
      <c r="E32" s="8">
        <v>45001</v>
      </c>
      <c r="F32" s="6" t="s">
        <v>3</v>
      </c>
      <c r="G32" s="6" t="s">
        <v>75</v>
      </c>
      <c r="H32" s="6" t="s">
        <v>75</v>
      </c>
      <c r="I32" s="6" t="s">
        <v>75</v>
      </c>
      <c r="J32" s="6"/>
      <c r="K32" s="14" t="str">
        <f t="shared" si="0"/>
        <v>KO</v>
      </c>
    </row>
    <row r="33" spans="1:11" ht="199.8" customHeight="1" x14ac:dyDescent="0.3">
      <c r="A33" s="11" t="s">
        <v>56</v>
      </c>
      <c r="B33" s="28"/>
      <c r="C33" s="28"/>
      <c r="D33" s="5" t="s">
        <v>55</v>
      </c>
      <c r="E33" s="8">
        <v>45001</v>
      </c>
      <c r="F33" s="6" t="s">
        <v>4</v>
      </c>
      <c r="G33" s="6" t="s">
        <v>75</v>
      </c>
      <c r="H33" s="6" t="s">
        <v>75</v>
      </c>
      <c r="I33" s="6" t="s">
        <v>75</v>
      </c>
      <c r="J33" s="6"/>
      <c r="K33" s="14" t="str">
        <f t="shared" si="0"/>
        <v>KO</v>
      </c>
    </row>
    <row r="34" spans="1:11" ht="141.9" customHeight="1" x14ac:dyDescent="0.3">
      <c r="A34" s="11" t="s">
        <v>58</v>
      </c>
      <c r="B34" s="28"/>
      <c r="C34" s="28"/>
      <c r="D34" s="5" t="s">
        <v>57</v>
      </c>
      <c r="E34" s="8">
        <v>45001</v>
      </c>
      <c r="F34" s="6" t="s">
        <v>5</v>
      </c>
      <c r="G34" s="6" t="s">
        <v>75</v>
      </c>
      <c r="H34" s="6" t="s">
        <v>75</v>
      </c>
      <c r="I34" s="6" t="s">
        <v>75</v>
      </c>
      <c r="J34" s="6"/>
      <c r="K34" s="14" t="str">
        <f t="shared" si="0"/>
        <v>KO</v>
      </c>
    </row>
    <row r="35" spans="1:11" ht="184.5" customHeight="1" x14ac:dyDescent="0.3">
      <c r="A35" s="11" t="s">
        <v>60</v>
      </c>
      <c r="B35" s="28"/>
      <c r="C35" s="28"/>
      <c r="D35" s="5" t="s">
        <v>59</v>
      </c>
      <c r="E35" s="8">
        <v>45006</v>
      </c>
      <c r="F35" s="6" t="s">
        <v>3</v>
      </c>
      <c r="G35" s="6" t="s">
        <v>73</v>
      </c>
      <c r="H35" s="6" t="s">
        <v>75</v>
      </c>
      <c r="I35" s="6" t="s">
        <v>75</v>
      </c>
      <c r="J35" s="6"/>
      <c r="K35" s="14" t="str">
        <f t="shared" si="0"/>
        <v>KO</v>
      </c>
    </row>
    <row r="36" spans="1:11" ht="147" customHeight="1" x14ac:dyDescent="0.3">
      <c r="A36" s="11" t="s">
        <v>62</v>
      </c>
      <c r="B36" s="28"/>
      <c r="C36" s="28"/>
      <c r="D36" s="12" t="s">
        <v>61</v>
      </c>
      <c r="E36" s="8">
        <v>45006</v>
      </c>
      <c r="F36" s="6" t="s">
        <v>4</v>
      </c>
      <c r="G36" s="6" t="s">
        <v>75</v>
      </c>
      <c r="H36" s="6" t="s">
        <v>75</v>
      </c>
      <c r="I36" s="6" t="s">
        <v>75</v>
      </c>
      <c r="J36" s="6"/>
      <c r="K36" s="14" t="str">
        <f t="shared" si="0"/>
        <v>KO</v>
      </c>
    </row>
    <row r="37" spans="1:11" ht="87" customHeight="1" x14ac:dyDescent="0.3">
      <c r="A37" s="11" t="s">
        <v>64</v>
      </c>
      <c r="B37" s="28"/>
      <c r="C37" s="28"/>
      <c r="D37" s="12" t="s">
        <v>63</v>
      </c>
      <c r="E37" s="8">
        <v>45006</v>
      </c>
      <c r="F37" s="6" t="s">
        <v>5</v>
      </c>
      <c r="G37" s="6" t="s">
        <v>75</v>
      </c>
      <c r="H37" s="6" t="s">
        <v>75</v>
      </c>
      <c r="I37" s="6" t="s">
        <v>75</v>
      </c>
      <c r="J37" s="6"/>
      <c r="K37" s="14" t="str">
        <f t="shared" si="0"/>
        <v>KO</v>
      </c>
    </row>
    <row r="38" spans="1:11" ht="101.4" customHeight="1" x14ac:dyDescent="0.3">
      <c r="A38" s="11" t="s">
        <v>21</v>
      </c>
      <c r="B38" s="28"/>
      <c r="C38" s="28"/>
      <c r="D38" s="7" t="s">
        <v>6</v>
      </c>
      <c r="E38" s="8">
        <v>45008</v>
      </c>
      <c r="F38" s="6" t="s">
        <v>3</v>
      </c>
      <c r="G38" s="6" t="s">
        <v>75</v>
      </c>
      <c r="H38" s="6" t="s">
        <v>75</v>
      </c>
      <c r="I38" s="6" t="s">
        <v>75</v>
      </c>
      <c r="J38" s="6"/>
      <c r="K38" s="14" t="str">
        <f t="shared" si="0"/>
        <v>KO</v>
      </c>
    </row>
    <row r="39" spans="1:11" ht="33.6" x14ac:dyDescent="0.6">
      <c r="A39" s="11" t="s">
        <v>77</v>
      </c>
      <c r="B39" s="28"/>
      <c r="C39" s="28"/>
      <c r="D39" s="18"/>
      <c r="E39" s="18"/>
      <c r="F39" s="18"/>
      <c r="G39" s="6" t="s">
        <v>75</v>
      </c>
      <c r="H39" s="6" t="s">
        <v>75</v>
      </c>
      <c r="I39" s="6" t="s">
        <v>75</v>
      </c>
      <c r="J39" s="6"/>
      <c r="K39" s="14" t="str">
        <f t="shared" ref="K39" si="1">IF(COUNTIF(G39:I39,"Oui")=3,"Ok","KO")</f>
        <v>KO</v>
      </c>
    </row>
    <row r="40" spans="1:11" ht="33.6" x14ac:dyDescent="0.65">
      <c r="A40" s="3"/>
    </row>
    <row r="41" spans="1:11" ht="33.6" x14ac:dyDescent="0.65">
      <c r="A41" s="3"/>
    </row>
    <row r="42" spans="1:11" ht="33.6" x14ac:dyDescent="0.65">
      <c r="A42" s="3"/>
    </row>
    <row r="43" spans="1:11" ht="33.6" x14ac:dyDescent="0.65">
      <c r="A43" s="3"/>
    </row>
    <row r="44" spans="1:11" ht="33.6" x14ac:dyDescent="0.65">
      <c r="A44" s="3"/>
    </row>
    <row r="45" spans="1:11" ht="33.6" x14ac:dyDescent="0.65">
      <c r="A45" s="3"/>
    </row>
    <row r="46" spans="1:11" ht="33.6" x14ac:dyDescent="0.65">
      <c r="A46" s="3"/>
    </row>
    <row r="47" spans="1:11" ht="33.6" x14ac:dyDescent="0.65">
      <c r="A47" s="3"/>
    </row>
    <row r="48" spans="1:11" ht="33.6" x14ac:dyDescent="0.65">
      <c r="A48" s="3"/>
    </row>
    <row r="49" spans="1:1" ht="33.6" x14ac:dyDescent="0.65">
      <c r="A49" s="3"/>
    </row>
    <row r="50" spans="1:1" ht="33.6" x14ac:dyDescent="0.65">
      <c r="A50" s="3"/>
    </row>
    <row r="51" spans="1:1" ht="33.6" x14ac:dyDescent="0.65">
      <c r="A51" s="3"/>
    </row>
    <row r="52" spans="1:1" ht="33.6" x14ac:dyDescent="0.65">
      <c r="A52" s="3"/>
    </row>
    <row r="53" spans="1:1" ht="33.6" x14ac:dyDescent="0.65">
      <c r="A53" s="3"/>
    </row>
    <row r="54" spans="1:1" ht="33.6" x14ac:dyDescent="0.65">
      <c r="A54" s="3"/>
    </row>
    <row r="55" spans="1:1" ht="33.6" x14ac:dyDescent="0.65">
      <c r="A55" s="3"/>
    </row>
    <row r="56" spans="1:1" ht="33.6" x14ac:dyDescent="0.65">
      <c r="A56" s="3"/>
    </row>
    <row r="57" spans="1:1" ht="33.6" x14ac:dyDescent="0.65">
      <c r="A57" s="3"/>
    </row>
    <row r="58" spans="1:1" ht="33.6" x14ac:dyDescent="0.65">
      <c r="A58" s="3"/>
    </row>
    <row r="59" spans="1:1" ht="33.6" x14ac:dyDescent="0.65">
      <c r="A59" s="3"/>
    </row>
    <row r="60" spans="1:1" ht="33.6" x14ac:dyDescent="0.65">
      <c r="A60" s="3"/>
    </row>
    <row r="61" spans="1:1" ht="33.6" x14ac:dyDescent="0.65">
      <c r="A61" s="3"/>
    </row>
    <row r="62" spans="1:1" ht="33.6" x14ac:dyDescent="0.65">
      <c r="A62" s="3"/>
    </row>
    <row r="63" spans="1:1" ht="33.6" x14ac:dyDescent="0.65">
      <c r="A63" s="3"/>
    </row>
    <row r="64" spans="1:1" ht="33.6" x14ac:dyDescent="0.65">
      <c r="A64" s="3"/>
    </row>
    <row r="65" spans="1:1" ht="33.6" x14ac:dyDescent="0.65">
      <c r="A65" s="3"/>
    </row>
    <row r="66" spans="1:1" ht="33.6" x14ac:dyDescent="0.65">
      <c r="A66" s="3"/>
    </row>
  </sheetData>
  <mergeCells count="11">
    <mergeCell ref="B33:B39"/>
    <mergeCell ref="C23:C39"/>
    <mergeCell ref="C7:C8"/>
    <mergeCell ref="C12:C13"/>
    <mergeCell ref="A23:A27"/>
    <mergeCell ref="A28:A32"/>
    <mergeCell ref="A7:A13"/>
    <mergeCell ref="B14:B17"/>
    <mergeCell ref="B18:B22"/>
    <mergeCell ref="A14:A22"/>
    <mergeCell ref="B9:B11"/>
  </mergeCells>
  <phoneticPr fontId="9" type="noConversion"/>
  <conditionalFormatting sqref="G7:I38">
    <cfRule type="containsText" dxfId="5" priority="4" operator="containsText" text="En cours">
      <formula>NOT(ISERROR(SEARCH("En cours",G7)))</formula>
    </cfRule>
    <cfRule type="containsText" dxfId="4" priority="5" operator="containsText" text="Non">
      <formula>NOT(ISERROR(SEARCH("Non",G7)))</formula>
    </cfRule>
    <cfRule type="containsText" dxfId="3" priority="6" operator="containsText" text="Oui">
      <formula>NOT(ISERROR(SEARCH("Oui",G7)))</formula>
    </cfRule>
  </conditionalFormatting>
  <conditionalFormatting sqref="G39:I39">
    <cfRule type="containsText" dxfId="2" priority="1" operator="containsText" text="En cours">
      <formula>NOT(ISERROR(SEARCH("En cours",G39)))</formula>
    </cfRule>
    <cfRule type="containsText" dxfId="1" priority="2" operator="containsText" text="Non">
      <formula>NOT(ISERROR(SEARCH("Non",G39)))</formula>
    </cfRule>
    <cfRule type="containsText" dxfId="0" priority="3" operator="containsText" text="Oui">
      <formula>NOT(ISERROR(SEARCH("Oui",G39)))</formula>
    </cfRule>
  </conditionalFormatting>
  <dataValidations count="1">
    <dataValidation type="list" allowBlank="1" showInputMessage="1" showErrorMessage="1" sqref="G7:I39" xr:uid="{9B1E37CA-B43A-4A3C-A8CE-0F385AAA3C94}">
      <formula1>"Oui,Non,En cours"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574C-3D1A-41AD-996F-872870FD8878}">
  <dimension ref="B2:D5"/>
  <sheetViews>
    <sheetView workbookViewId="0">
      <selection activeCell="D5" sqref="D5"/>
    </sheetView>
  </sheetViews>
  <sheetFormatPr baseColWidth="10" defaultRowHeight="14.4" x14ac:dyDescent="0.3"/>
  <cols>
    <col min="2" max="2" width="15.77734375" customWidth="1"/>
    <col min="3" max="3" width="17.44140625" customWidth="1"/>
    <col min="4" max="4" width="29.88671875" customWidth="1"/>
  </cols>
  <sheetData>
    <row r="2" spans="2:4" x14ac:dyDescent="0.3">
      <c r="B2" s="15" t="s">
        <v>68</v>
      </c>
      <c r="C2" s="15" t="s">
        <v>69</v>
      </c>
      <c r="D2" s="15" t="s">
        <v>70</v>
      </c>
    </row>
    <row r="3" spans="2:4" x14ac:dyDescent="0.3">
      <c r="B3" s="16">
        <f>COUNTIF('Planning des réunions'!$G$7:$G$39,"Oui")</f>
        <v>10</v>
      </c>
      <c r="C3" s="16">
        <f>COUNTIF('Planning des réunions'!$H$7:$H$39,"Oui")</f>
        <v>9</v>
      </c>
      <c r="D3" s="16">
        <f>COUNTIF('Planning des réunions'!$I$7:$I$39,"Oui")</f>
        <v>1</v>
      </c>
    </row>
    <row r="4" spans="2:4" x14ac:dyDescent="0.3">
      <c r="B4" s="16">
        <v>33</v>
      </c>
      <c r="C4" s="16">
        <v>33</v>
      </c>
      <c r="D4" s="16">
        <v>33</v>
      </c>
    </row>
    <row r="5" spans="2:4" x14ac:dyDescent="0.3">
      <c r="B5" s="17">
        <f>B3/B4</f>
        <v>0.30303030303030304</v>
      </c>
      <c r="C5" s="17">
        <f>C3/C4</f>
        <v>0.27272727272727271</v>
      </c>
      <c r="D5" s="17">
        <f>D3/D4</f>
        <v>3.0303030303030304E-2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Sommaire</vt:lpstr>
      <vt:lpstr>Planning des réunions</vt:lpstr>
      <vt:lpstr>Chiffre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Rokbani</dc:creator>
  <cp:lastModifiedBy>Lenovo</cp:lastModifiedBy>
  <dcterms:created xsi:type="dcterms:W3CDTF">2023-01-24T09:56:05Z</dcterms:created>
  <dcterms:modified xsi:type="dcterms:W3CDTF">2023-03-02T10:21:20Z</dcterms:modified>
</cp:coreProperties>
</file>